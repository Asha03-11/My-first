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HA EXCEL\"/>
    </mc:Choice>
  </mc:AlternateContent>
  <xr:revisionPtr revIDLastSave="0" documentId="13_ncr:1_{99862E9E-6CAA-4EDE-992E-04B734AF15F6}" xr6:coauthVersionLast="36" xr6:coauthVersionMax="36" xr10:uidLastSave="{00000000-0000-0000-0000-000000000000}"/>
  <bookViews>
    <workbookView xWindow="0" yWindow="0" windowWidth="28800" windowHeight="12210" xr2:uid="{E1723B09-5AD6-4C67-AF3D-83E041D4C3DC}"/>
  </bookViews>
  <sheets>
    <sheet name="DATA 3" sheetId="1" r:id="rId1"/>
    <sheet name="DASHBOARD 3" sheetId="2" r:id="rId2"/>
  </sheets>
  <externalReferences>
    <externalReference r:id="rId3"/>
  </externalReferences>
  <definedNames>
    <definedName name="_xlchart.v1.0" hidden="1">'[1]CALCULATION 2'!$D$62:$D$66</definedName>
    <definedName name="_xlchart.v1.1" hidden="1">'[1]CALCULATION 2'!$E$62:$E$66</definedName>
    <definedName name="_xlchart.v1.2" hidden="1">'[1]CALCULATION 2'!$D$26:$D$30</definedName>
    <definedName name="_xlchart.v1.3" hidden="1">'[1]CALCULATION 2'!$E$26:$E$30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D2" i="2"/>
  <c r="F2" i="2"/>
  <c r="H2" i="2"/>
</calcChain>
</file>

<file path=xl/sharedStrings.xml><?xml version="1.0" encoding="utf-8"?>
<sst xmlns="http://schemas.openxmlformats.org/spreadsheetml/2006/main" count="88" uniqueCount="73">
  <si>
    <t>Leather Belt</t>
  </si>
  <si>
    <t>Apparel</t>
  </si>
  <si>
    <t>Rajiv Menon</t>
  </si>
  <si>
    <t>South</t>
  </si>
  <si>
    <t>CUST1012</t>
  </si>
  <si>
    <t>ORD012</t>
  </si>
  <si>
    <t>Bookshelf</t>
  </si>
  <si>
    <t>Furniture</t>
  </si>
  <si>
    <t>Emily Chen</t>
  </si>
  <si>
    <t>North</t>
  </si>
  <si>
    <t>CUST1011</t>
  </si>
  <si>
    <t>ORD011</t>
  </si>
  <si>
    <t>Noise-Canceling Headphones</t>
  </si>
  <si>
    <t>Electronics</t>
  </si>
  <si>
    <t>Ahmed Khan</t>
  </si>
  <si>
    <t>Central</t>
  </si>
  <si>
    <t>CUST1010</t>
  </si>
  <si>
    <t>ORD010</t>
  </si>
  <si>
    <t>Air Fryer</t>
  </si>
  <si>
    <t>Kitchenware</t>
  </si>
  <si>
    <t>Sofia Martinez</t>
  </si>
  <si>
    <t>West</t>
  </si>
  <si>
    <t>CUST1009</t>
  </si>
  <si>
    <t>ORD009</t>
  </si>
  <si>
    <t>Running Shoes</t>
  </si>
  <si>
    <t>Haruto Tanaka</t>
  </si>
  <si>
    <t>East</t>
  </si>
  <si>
    <t>CUST1008</t>
  </si>
  <si>
    <t>ORD008</t>
  </si>
  <si>
    <t>Coffee Table</t>
  </si>
  <si>
    <t>John Smith</t>
  </si>
  <si>
    <t>CUST1007</t>
  </si>
  <si>
    <t>ORD007</t>
  </si>
  <si>
    <t>Wireless Mouse</t>
  </si>
  <si>
    <t>Priya Desai</t>
  </si>
  <si>
    <t>CUST1006</t>
  </si>
  <si>
    <t>ORD006</t>
  </si>
  <si>
    <t>Smartwatch</t>
  </si>
  <si>
    <t>Fatima Noor</t>
  </si>
  <si>
    <t>CUST1005</t>
  </si>
  <si>
    <t>ORD005</t>
  </si>
  <si>
    <t>Blender</t>
  </si>
  <si>
    <t>Carlos Rivera</t>
  </si>
  <si>
    <t>CUST1004</t>
  </si>
  <si>
    <t>ORD004</t>
  </si>
  <si>
    <t>Winter Jacket</t>
  </si>
  <si>
    <t>Mei Ling</t>
  </si>
  <si>
    <t>CUST1003</t>
  </si>
  <si>
    <t>ORD003</t>
  </si>
  <si>
    <t>Office Chair</t>
  </si>
  <si>
    <t>Ravi Kumar</t>
  </si>
  <si>
    <t>CUST1002</t>
  </si>
  <si>
    <t>ORD002</t>
  </si>
  <si>
    <t>Bluetooth Speaker</t>
  </si>
  <si>
    <t>Alice Johnson</t>
  </si>
  <si>
    <t>CUST1001</t>
  </si>
  <si>
    <t>ORD001</t>
  </si>
  <si>
    <t>PROFIT (10%)</t>
  </si>
  <si>
    <t>AMOUNT ($)</t>
  </si>
  <si>
    <t>QUANTITY</t>
  </si>
  <si>
    <t>PRICE ($)</t>
  </si>
  <si>
    <t>PRODUCT</t>
  </si>
  <si>
    <t>CATEGORY</t>
  </si>
  <si>
    <t>CUSTOMER NAME</t>
  </si>
  <si>
    <t>REGION</t>
  </si>
  <si>
    <t>CUSTOMER ID</t>
  </si>
  <si>
    <t>YEAR</t>
  </si>
  <si>
    <t>ORDER DATE</t>
  </si>
  <si>
    <t>ORDER ID</t>
  </si>
  <si>
    <t>Profit</t>
  </si>
  <si>
    <t>Quantity</t>
  </si>
  <si>
    <t>Orders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</si>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</sst>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Bodoni MT Black"/>
      <family val="1"/>
    </font>
    <font>
      <b/>
      <sz val="11"/>
      <color theme="1"/>
      <name val="Bodoni MT Black"/>
      <family val="1"/>
    </font>
    <font>
      <sz val="14"/>
      <color theme="0" tint="-0.499984740745262"/>
      <name val="Aharoni"/>
      <charset val="177"/>
    </font>
    <font>
      <sz val="11"/>
      <color theme="1"/>
      <name val="Book Antiqua"/>
      <family val="1"/>
    </font>
    <font>
      <sz val="12"/>
      <color theme="0" tint="-0.499984740745262"/>
      <name val="Aharoni"/>
      <charset val="177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2" borderId="0" xfId="0" applyFont="1" applyFill="1"/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1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Count of ORDER ID</c:v>
          </c:tx>
          <c:spPr>
            <a:solidFill>
              <a:schemeClr val="accent5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Oct</c:v>
              </c:pt>
              <c:pt idx="1">
                <c:v>Nov</c:v>
              </c:pt>
              <c:pt idx="2">
                <c:v>Dec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1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F1D6-47F0-B2E7-E058C9DF5B5B}"/>
            </c:ext>
          </c:extLst>
        </c:ser>
        <c:ser>
          <c:idx val="1"/>
          <c:order val="1"/>
          <c:tx>
            <c:v>Sum of AMOUNT ($)</c:v>
          </c:tx>
          <c:spPr>
            <a:solidFill>
              <a:schemeClr val="accent5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Oct</c:v>
              </c:pt>
              <c:pt idx="1">
                <c:v>Nov</c:v>
              </c:pt>
              <c:pt idx="2">
                <c:v>Dec</c:v>
              </c:pt>
            </c:strLit>
          </c:cat>
          <c:val>
            <c:numLit>
              <c:formatCode>General</c:formatCode>
              <c:ptCount val="3"/>
              <c:pt idx="0">
                <c:v>180</c:v>
              </c:pt>
              <c:pt idx="1">
                <c:v>200</c:v>
              </c:pt>
              <c:pt idx="2">
                <c:v>80</c:v>
              </c:pt>
            </c:numLit>
          </c:val>
          <c:extLst>
            <c:ext xmlns:c16="http://schemas.microsoft.com/office/drawing/2014/chart" uri="{C3380CC4-5D6E-409C-BE32-E72D297353CC}">
              <c16:uniqueId val="{00000001-F1D6-47F0-B2E7-E058C9DF5B5B}"/>
            </c:ext>
          </c:extLst>
        </c:ser>
        <c:ser>
          <c:idx val="2"/>
          <c:order val="2"/>
          <c:tx>
            <c:v>Sum of QUANTITY</c:v>
          </c:tx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Oct</c:v>
              </c:pt>
              <c:pt idx="1">
                <c:v>Nov</c:v>
              </c:pt>
              <c:pt idx="2">
                <c:v>Dec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1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2-F1D6-47F0-B2E7-E058C9DF5B5B}"/>
            </c:ext>
          </c:extLst>
        </c:ser>
        <c:ser>
          <c:idx val="3"/>
          <c:order val="3"/>
          <c:tx>
            <c:v>Sum of PROFIT (10%)</c:v>
          </c:tx>
          <c:spPr>
            <a:solidFill>
              <a:schemeClr val="accent5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Oct</c:v>
              </c:pt>
              <c:pt idx="1">
                <c:v>Nov</c:v>
              </c:pt>
              <c:pt idx="2">
                <c:v>Dec</c:v>
              </c:pt>
            </c:strLit>
          </c:cat>
          <c:val>
            <c:numLit>
              <c:formatCode>General</c:formatCode>
              <c:ptCount val="3"/>
              <c:pt idx="0">
                <c:v>18</c:v>
              </c:pt>
              <c:pt idx="1">
                <c:v>20</c:v>
              </c:pt>
              <c:pt idx="2">
                <c:v>8</c:v>
              </c:pt>
            </c:numLit>
          </c:val>
          <c:extLst>
            <c:ext xmlns:c16="http://schemas.microsoft.com/office/drawing/2014/chart" uri="{C3380CC4-5D6E-409C-BE32-E72D297353CC}">
              <c16:uniqueId val="{00000003-F1D6-47F0-B2E7-E058C9DF5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7008192"/>
        <c:axId val="454349312"/>
      </c:barChart>
      <c:catAx>
        <c:axId val="2037008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454349312"/>
        <c:crosses val="autoZero"/>
        <c:auto val="1"/>
        <c:lblAlgn val="ctr"/>
        <c:lblOffset val="100"/>
        <c:noMultiLvlLbl val="0"/>
      </c:catAx>
      <c:valAx>
        <c:axId val="45434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203700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QUANTITY SALES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0">
              <a:latin typeface="Aharoni" panose="02010803020104030203" pitchFamily="2" charset="-79"/>
              <a:ea typeface="Aharoni" panose="02010803020104030203" pitchFamily="2" charset="-79"/>
              <a:cs typeface="Aharoni" panose="02010803020104030203" pitchFamily="2" charset="-79"/>
            </a:defRPr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haroni" panose="02010803020104030203" pitchFamily="2" charset="-79"/>
              <a:cs typeface="Aharoni" panose="02010803020104030203" pitchFamily="2" charset="-79"/>
            </a:rPr>
            <a:t>QUANTITY SALES</a:t>
          </a:r>
        </a:p>
      </cx:txPr>
    </cx:title>
    <cx:plotArea>
      <cx:plotAreaRegion>
        <cx:series layoutId="treemap" uniqueId="{3CC48A3A-F389-407E-8676-0A2246446723}"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haroni" panose="02010803020104030203" pitchFamily="2" charset="-79"/>
                <a:cs typeface="Aharoni" panose="02010803020104030203" pitchFamily="2" charset="-79"/>
              </a:rPr>
              <a:t>CATEGORY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 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haroni" panose="02010803020104030203" pitchFamily="2" charset="-79"/>
                <a:cs typeface="Aharoni" panose="02010803020104030203" pitchFamily="2" charset="-79"/>
              </a:rPr>
              <a:t>SALES</a:t>
            </a:r>
          </a:p>
        </cx:rich>
      </cx:tx>
    </cx:title>
    <cx:plotArea>
      <cx:plotAreaRegion>
        <cx:series layoutId="waterfall" uniqueId="{D238CB0F-0463-4385-87E8-2B4D28BA9427}"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 b="1"/>
            </a:pPr>
            <a:endParaRPr lang="en-U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endParaRPr lang="en-U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chart" Target="../charts/chart1.xm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microsoft.com/office/2014/relationships/chartEx" Target="../charts/chartEx2.xml"/><Relationship Id="rId5" Type="http://schemas.microsoft.com/office/2014/relationships/chartEx" Target="../charts/chartEx1.xml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19050</xdr:rowOff>
    </xdr:from>
    <xdr:ext cx="1295400" cy="561975"/>
    <xdr:pic>
      <xdr:nvPicPr>
        <xdr:cNvPr id="2" name="Picture 1">
          <a:extLst>
            <a:ext uri="{FF2B5EF4-FFF2-40B4-BE49-F238E27FC236}">
              <a16:creationId xmlns:a16="http://schemas.microsoft.com/office/drawing/2014/main" id="{D7054288-457E-4353-B7E6-D62408ACB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0050"/>
          <a:ext cx="129540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609599</xdr:colOff>
      <xdr:row>2</xdr:row>
      <xdr:rowOff>9525</xdr:rowOff>
    </xdr:from>
    <xdr:ext cx="1247776" cy="600075"/>
    <xdr:pic>
      <xdr:nvPicPr>
        <xdr:cNvPr id="3" name="Picture 2">
          <a:extLst>
            <a:ext uri="{FF2B5EF4-FFF2-40B4-BE49-F238E27FC236}">
              <a16:creationId xmlns:a16="http://schemas.microsoft.com/office/drawing/2014/main" id="{CE0735D6-5EF0-4158-AA80-D0B4455A6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799" y="390525"/>
          <a:ext cx="1247776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9525</xdr:colOff>
      <xdr:row>2</xdr:row>
      <xdr:rowOff>19049</xdr:rowOff>
    </xdr:from>
    <xdr:ext cx="1247775" cy="609601"/>
    <xdr:pic>
      <xdr:nvPicPr>
        <xdr:cNvPr id="4" name="Picture 3">
          <a:extLst>
            <a:ext uri="{FF2B5EF4-FFF2-40B4-BE49-F238E27FC236}">
              <a16:creationId xmlns:a16="http://schemas.microsoft.com/office/drawing/2014/main" id="{4FC1077E-B04B-4A49-8E33-4B419E3EA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400049"/>
          <a:ext cx="1247775" cy="609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609599</xdr:colOff>
      <xdr:row>1</xdr:row>
      <xdr:rowOff>409574</xdr:rowOff>
    </xdr:from>
    <xdr:ext cx="1257301" cy="600075"/>
    <xdr:pic>
      <xdr:nvPicPr>
        <xdr:cNvPr id="5" name="Picture 4">
          <a:extLst>
            <a:ext uri="{FF2B5EF4-FFF2-40B4-BE49-F238E27FC236}">
              <a16:creationId xmlns:a16="http://schemas.microsoft.com/office/drawing/2014/main" id="{A7F744B5-6CA4-4F06-943F-8CFE8245F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199" y="380999"/>
          <a:ext cx="1257301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</xdr:col>
      <xdr:colOff>66675</xdr:colOff>
      <xdr:row>5</xdr:row>
      <xdr:rowOff>0</xdr:rowOff>
    </xdr:from>
    <xdr:to>
      <xdr:col>9</xdr:col>
      <xdr:colOff>485775</xdr:colOff>
      <xdr:row>25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3257AD29-54AD-43EE-AD0A-D940C5423B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14675" y="952500"/>
              <a:ext cx="2857500" cy="3990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i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</xdr:colOff>
      <xdr:row>5</xdr:row>
      <xdr:rowOff>0</xdr:rowOff>
    </xdr:from>
    <xdr:to>
      <xdr:col>4</xdr:col>
      <xdr:colOff>600076</xdr:colOff>
      <xdr:row>25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02DFEB85-FEC1-4851-9318-C05FD3A836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1" y="952500"/>
              <a:ext cx="2428875" cy="3990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i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0</xdr:colOff>
      <xdr:row>0</xdr:row>
      <xdr:rowOff>0</xdr:rowOff>
    </xdr:from>
    <xdr:to>
      <xdr:col>15</xdr:col>
      <xdr:colOff>152400</xdr:colOff>
      <xdr:row>4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0A8DDE-EEEF-40CF-AF72-E3EE76729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HA%20OVERALL%20EXCEL%20.03/DASHBOARD.AS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Calculation"/>
      <sheetName val="DASHBOARD 1"/>
      <sheetName val="CALCULATION 2"/>
      <sheetName val="DASHBOARD 2"/>
      <sheetName val="DATA 4"/>
      <sheetName val="PIVOT"/>
      <sheetName val="DASHBOARD4"/>
      <sheetName val="Data 5"/>
      <sheetName val="List"/>
      <sheetName val="calc"/>
      <sheetName val="Dashboard 5 "/>
      <sheetName val="Dashboard 6"/>
    </sheetNames>
    <sheetDataSet>
      <sheetData sheetId="0"/>
      <sheetData sheetId="1"/>
      <sheetData sheetId="2"/>
      <sheetData sheetId="3">
        <row r="18">
          <cell r="B18">
            <v>0</v>
          </cell>
          <cell r="C18">
            <v>0</v>
          </cell>
        </row>
        <row r="26">
          <cell r="D26" t="str">
            <v>Kitchenware</v>
          </cell>
          <cell r="E26">
            <v>240</v>
          </cell>
        </row>
        <row r="27">
          <cell r="D27" t="str">
            <v>Furniture</v>
          </cell>
          <cell r="E27">
            <v>470</v>
          </cell>
        </row>
        <row r="28">
          <cell r="D28" t="str">
            <v>Apparel</v>
          </cell>
          <cell r="E28">
            <v>500</v>
          </cell>
        </row>
        <row r="29">
          <cell r="D29" t="str">
            <v>Electronics</v>
          </cell>
          <cell r="E29">
            <v>580</v>
          </cell>
        </row>
        <row r="30">
          <cell r="D30" t="str">
            <v>Grand Total</v>
          </cell>
          <cell r="E30">
            <v>1790</v>
          </cell>
        </row>
        <row r="62">
          <cell r="D62" t="str">
            <v>Electronics</v>
          </cell>
          <cell r="E62">
            <v>8</v>
          </cell>
        </row>
        <row r="63">
          <cell r="D63" t="str">
            <v>Apparel</v>
          </cell>
          <cell r="E63">
            <v>7</v>
          </cell>
        </row>
        <row r="64">
          <cell r="D64" t="str">
            <v>Furniture</v>
          </cell>
          <cell r="E64">
            <v>3</v>
          </cell>
        </row>
        <row r="65">
          <cell r="D65" t="str">
            <v>Kitchenware</v>
          </cell>
          <cell r="E65">
            <v>3</v>
          </cell>
        </row>
        <row r="66">
          <cell r="D66" t="str">
            <v>Grand Total</v>
          </cell>
          <cell r="E66">
            <v>21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0430B4-FBF4-48F6-8806-C61657D6157A}" name="Table3" displayName="Table3" ref="A2:L14" totalsRowShown="0" headerRowDxfId="13" dataDxfId="12">
  <autoFilter ref="A2:L14" xr:uid="{5517FA86-CAAD-4D21-8BFF-50AE4E38F0B4}"/>
  <sortState ref="A3:L13">
    <sortCondition ref="A2:A14"/>
  </sortState>
  <tableColumns count="12">
    <tableColumn id="1" xr3:uid="{883372BE-E2CD-4BD0-B579-3483C8C2475A}" name="ORDER ID" dataDxfId="11"/>
    <tableColumn id="2" xr3:uid="{5A0F1DCA-FBC2-4315-94AE-6D18FEDE4DEC}" name="ORDER DATE" dataDxfId="10"/>
    <tableColumn id="3" xr3:uid="{FFDDA11A-FB58-4738-9E3F-6DD05AA6E998}" name="YEAR" dataDxfId="9"/>
    <tableColumn id="4" xr3:uid="{7C1253BF-DF12-454A-BFA8-25629262CB12}" name="CUSTOMER ID" dataDxfId="8"/>
    <tableColumn id="5" xr3:uid="{5D31E17B-F575-4382-B5B3-38C71D30E589}" name="REGION" dataDxfId="7"/>
    <tableColumn id="6" xr3:uid="{FD030060-703D-4646-A142-CB86492D2C96}" name="CUSTOMER NAME" dataDxfId="6"/>
    <tableColumn id="7" xr3:uid="{F60051C4-A770-4656-A7BC-3D9AEFDD05AC}" name="CATEGORY" dataDxfId="5"/>
    <tableColumn id="8" xr3:uid="{4D380FCB-B718-4A95-B4ED-494FEC4E8C09}" name="PRODUCT" dataDxfId="4"/>
    <tableColumn id="9" xr3:uid="{19B7FC5F-FC98-43FF-A22B-A693616D327A}" name="PRICE ($)" dataDxfId="3"/>
    <tableColumn id="10" xr3:uid="{DD33E1D6-9921-4FBA-A4EC-2AA23B6680F9}" name="QUANTITY" dataDxfId="2"/>
    <tableColumn id="11" xr3:uid="{FA6F7C04-6D5F-408D-86B6-87230FAC969D}" name="AMOUNT ($)" dataDxfId="1"/>
    <tableColumn id="12" xr3:uid="{D7E78660-2B2E-4B1F-B60C-FF4D0C3D99A6}" name="PROFIT (10%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05CA-B6B7-4C35-8AE3-8D00CE3A4534}">
  <dimension ref="A2:L14"/>
  <sheetViews>
    <sheetView tabSelected="1" workbookViewId="0">
      <selection activeCell="G15" sqref="G15"/>
    </sheetView>
  </sheetViews>
  <sheetFormatPr defaultRowHeight="15" x14ac:dyDescent="0.25"/>
  <cols>
    <col min="1" max="1" width="13.85546875" bestFit="1" customWidth="1"/>
    <col min="2" max="2" width="16.5703125" bestFit="1" customWidth="1"/>
    <col min="3" max="3" width="10.140625" bestFit="1" customWidth="1"/>
    <col min="4" max="4" width="18" bestFit="1" customWidth="1"/>
    <col min="5" max="5" width="10.140625" customWidth="1"/>
    <col min="6" max="6" width="21.85546875" bestFit="1" customWidth="1"/>
    <col min="7" max="7" width="15.140625" bestFit="1" customWidth="1"/>
    <col min="8" max="8" width="14.140625" bestFit="1" customWidth="1"/>
    <col min="9" max="9" width="13.42578125" bestFit="1" customWidth="1"/>
    <col min="10" max="10" width="14.85546875" bestFit="1" customWidth="1"/>
    <col min="11" max="11" width="16.85546875" bestFit="1" customWidth="1"/>
    <col min="12" max="12" width="17.28515625" bestFit="1" customWidth="1"/>
  </cols>
  <sheetData>
    <row r="2" spans="1:12" x14ac:dyDescent="0.25">
      <c r="A2" s="3" t="s">
        <v>68</v>
      </c>
      <c r="B2" s="3" t="s">
        <v>67</v>
      </c>
      <c r="C2" s="3" t="s">
        <v>66</v>
      </c>
      <c r="D2" s="3" t="s">
        <v>65</v>
      </c>
      <c r="E2" s="3" t="s">
        <v>64</v>
      </c>
      <c r="F2" s="3" t="s">
        <v>63</v>
      </c>
      <c r="G2" s="3" t="s">
        <v>62</v>
      </c>
      <c r="H2" s="3" t="s">
        <v>61</v>
      </c>
      <c r="I2" s="3" t="s">
        <v>60</v>
      </c>
      <c r="J2" s="3" t="s">
        <v>59</v>
      </c>
      <c r="K2" s="3" t="s">
        <v>58</v>
      </c>
      <c r="L2" s="3" t="s">
        <v>57</v>
      </c>
    </row>
    <row r="3" spans="1:12" ht="30" x14ac:dyDescent="0.25">
      <c r="A3" s="1" t="s">
        <v>56</v>
      </c>
      <c r="B3" s="2">
        <v>45672</v>
      </c>
      <c r="C3" s="1">
        <v>2025</v>
      </c>
      <c r="D3" s="1" t="s">
        <v>55</v>
      </c>
      <c r="E3" s="1" t="s">
        <v>9</v>
      </c>
      <c r="F3" s="1" t="s">
        <v>54</v>
      </c>
      <c r="G3" s="1" t="s">
        <v>13</v>
      </c>
      <c r="H3" s="1" t="s">
        <v>53</v>
      </c>
      <c r="I3" s="1">
        <v>50</v>
      </c>
      <c r="J3" s="1">
        <v>2</v>
      </c>
      <c r="K3" s="1">
        <v>100</v>
      </c>
      <c r="L3" s="1">
        <v>10</v>
      </c>
    </row>
    <row r="4" spans="1:12" x14ac:dyDescent="0.25">
      <c r="A4" s="1" t="s">
        <v>52</v>
      </c>
      <c r="B4" s="2">
        <v>45698</v>
      </c>
      <c r="C4" s="1">
        <v>2025</v>
      </c>
      <c r="D4" s="1" t="s">
        <v>51</v>
      </c>
      <c r="E4" s="1" t="s">
        <v>3</v>
      </c>
      <c r="F4" s="1" t="s">
        <v>50</v>
      </c>
      <c r="G4" s="1" t="s">
        <v>7</v>
      </c>
      <c r="H4" s="1" t="s">
        <v>49</v>
      </c>
      <c r="I4" s="1">
        <v>120</v>
      </c>
      <c r="J4" s="1">
        <v>1</v>
      </c>
      <c r="K4" s="1">
        <v>120</v>
      </c>
      <c r="L4" s="1">
        <v>12</v>
      </c>
    </row>
    <row r="5" spans="1:12" x14ac:dyDescent="0.25">
      <c r="A5" s="1" t="s">
        <v>48</v>
      </c>
      <c r="B5" s="2">
        <v>45721</v>
      </c>
      <c r="C5" s="1">
        <v>2025</v>
      </c>
      <c r="D5" s="1" t="s">
        <v>47</v>
      </c>
      <c r="E5" s="1" t="s">
        <v>26</v>
      </c>
      <c r="F5" s="1" t="s">
        <v>46</v>
      </c>
      <c r="G5" s="1" t="s">
        <v>1</v>
      </c>
      <c r="H5" s="1" t="s">
        <v>45</v>
      </c>
      <c r="I5" s="1">
        <v>80</v>
      </c>
      <c r="J5" s="1">
        <v>3</v>
      </c>
      <c r="K5" s="1">
        <v>240</v>
      </c>
      <c r="L5" s="1">
        <v>24</v>
      </c>
    </row>
    <row r="6" spans="1:12" x14ac:dyDescent="0.25">
      <c r="A6" s="1" t="s">
        <v>44</v>
      </c>
      <c r="B6" s="2">
        <v>45769</v>
      </c>
      <c r="C6" s="1">
        <v>2025</v>
      </c>
      <c r="D6" s="1" t="s">
        <v>43</v>
      </c>
      <c r="E6" s="1" t="s">
        <v>21</v>
      </c>
      <c r="F6" s="1" t="s">
        <v>42</v>
      </c>
      <c r="G6" s="1" t="s">
        <v>19</v>
      </c>
      <c r="H6" s="1" t="s">
        <v>41</v>
      </c>
      <c r="I6" s="1">
        <v>65</v>
      </c>
      <c r="J6" s="1">
        <v>2</v>
      </c>
      <c r="K6" s="1">
        <v>130</v>
      </c>
      <c r="L6" s="1">
        <v>13</v>
      </c>
    </row>
    <row r="7" spans="1:12" x14ac:dyDescent="0.25">
      <c r="A7" s="1" t="s">
        <v>40</v>
      </c>
      <c r="B7" s="2">
        <v>45795</v>
      </c>
      <c r="C7" s="1">
        <v>2025</v>
      </c>
      <c r="D7" s="1" t="s">
        <v>39</v>
      </c>
      <c r="E7" s="1" t="s">
        <v>15</v>
      </c>
      <c r="F7" s="1" t="s">
        <v>38</v>
      </c>
      <c r="G7" s="1" t="s">
        <v>13</v>
      </c>
      <c r="H7" s="1" t="s">
        <v>37</v>
      </c>
      <c r="I7" s="1">
        <v>200</v>
      </c>
      <c r="J7" s="1">
        <v>1</v>
      </c>
      <c r="K7" s="1">
        <v>200</v>
      </c>
      <c r="L7" s="1">
        <v>20</v>
      </c>
    </row>
    <row r="8" spans="1:12" ht="30" x14ac:dyDescent="0.25">
      <c r="A8" s="1" t="s">
        <v>36</v>
      </c>
      <c r="B8" s="2">
        <v>45811</v>
      </c>
      <c r="C8" s="1">
        <v>2025</v>
      </c>
      <c r="D8" s="1" t="s">
        <v>35</v>
      </c>
      <c r="E8" s="1" t="s">
        <v>9</v>
      </c>
      <c r="F8" s="1" t="s">
        <v>34</v>
      </c>
      <c r="G8" s="1" t="s">
        <v>13</v>
      </c>
      <c r="H8" s="1" t="s">
        <v>33</v>
      </c>
      <c r="I8" s="1">
        <v>25</v>
      </c>
      <c r="J8" s="1">
        <v>4</v>
      </c>
      <c r="K8" s="1">
        <v>100</v>
      </c>
      <c r="L8" s="1">
        <v>10</v>
      </c>
    </row>
    <row r="9" spans="1:12" x14ac:dyDescent="0.25">
      <c r="A9" s="1" t="s">
        <v>32</v>
      </c>
      <c r="B9" s="2">
        <v>45853</v>
      </c>
      <c r="C9" s="1">
        <v>2025</v>
      </c>
      <c r="D9" s="1" t="s">
        <v>31</v>
      </c>
      <c r="E9" s="1" t="s">
        <v>3</v>
      </c>
      <c r="F9" s="1" t="s">
        <v>30</v>
      </c>
      <c r="G9" s="1" t="s">
        <v>7</v>
      </c>
      <c r="H9" s="1" t="s">
        <v>29</v>
      </c>
      <c r="I9" s="1">
        <v>150</v>
      </c>
      <c r="J9" s="1">
        <v>1</v>
      </c>
      <c r="K9" s="1">
        <v>150</v>
      </c>
      <c r="L9" s="1">
        <v>15</v>
      </c>
    </row>
    <row r="10" spans="1:12" x14ac:dyDescent="0.25">
      <c r="A10" s="1" t="s">
        <v>28</v>
      </c>
      <c r="B10" s="2">
        <v>45870</v>
      </c>
      <c r="C10" s="1">
        <v>2025</v>
      </c>
      <c r="D10" s="1" t="s">
        <v>27</v>
      </c>
      <c r="E10" s="1" t="s">
        <v>26</v>
      </c>
      <c r="F10" s="1" t="s">
        <v>25</v>
      </c>
      <c r="G10" s="1" t="s">
        <v>1</v>
      </c>
      <c r="H10" s="1" t="s">
        <v>24</v>
      </c>
      <c r="I10" s="1">
        <v>90</v>
      </c>
      <c r="J10" s="1">
        <v>2</v>
      </c>
      <c r="K10" s="1">
        <v>180</v>
      </c>
      <c r="L10" s="1">
        <v>18</v>
      </c>
    </row>
    <row r="11" spans="1:12" x14ac:dyDescent="0.25">
      <c r="A11" s="1" t="s">
        <v>23</v>
      </c>
      <c r="B11" s="2">
        <v>45920</v>
      </c>
      <c r="C11" s="1">
        <v>2025</v>
      </c>
      <c r="D11" s="1" t="s">
        <v>22</v>
      </c>
      <c r="E11" s="1" t="s">
        <v>21</v>
      </c>
      <c r="F11" s="1" t="s">
        <v>20</v>
      </c>
      <c r="G11" s="1" t="s">
        <v>19</v>
      </c>
      <c r="H11" s="1" t="s">
        <v>18</v>
      </c>
      <c r="I11" s="1">
        <v>110</v>
      </c>
      <c r="J11" s="1">
        <v>1</v>
      </c>
      <c r="K11" s="1">
        <v>110</v>
      </c>
      <c r="L11" s="1">
        <v>11</v>
      </c>
    </row>
    <row r="12" spans="1:12" ht="15" customHeight="1" x14ac:dyDescent="0.25">
      <c r="A12" s="1" t="s">
        <v>17</v>
      </c>
      <c r="B12" s="2">
        <v>45935</v>
      </c>
      <c r="C12" s="1">
        <v>2025</v>
      </c>
      <c r="D12" s="1" t="s">
        <v>16</v>
      </c>
      <c r="E12" s="1" t="s">
        <v>15</v>
      </c>
      <c r="F12" s="1" t="s">
        <v>14</v>
      </c>
      <c r="G12" s="1" t="s">
        <v>13</v>
      </c>
      <c r="H12" s="1" t="s">
        <v>12</v>
      </c>
      <c r="I12" s="1">
        <v>180</v>
      </c>
      <c r="J12" s="1">
        <v>1</v>
      </c>
      <c r="K12" s="1">
        <v>180</v>
      </c>
      <c r="L12" s="1">
        <v>18</v>
      </c>
    </row>
    <row r="13" spans="1:12" x14ac:dyDescent="0.25">
      <c r="A13" s="1" t="s">
        <v>11</v>
      </c>
      <c r="B13" s="2">
        <v>45983</v>
      </c>
      <c r="C13" s="1">
        <v>2025</v>
      </c>
      <c r="D13" s="1" t="s">
        <v>10</v>
      </c>
      <c r="E13" s="1" t="s">
        <v>9</v>
      </c>
      <c r="F13" s="1" t="s">
        <v>8</v>
      </c>
      <c r="G13" s="1" t="s">
        <v>7</v>
      </c>
      <c r="H13" s="1" t="s">
        <v>6</v>
      </c>
      <c r="I13" s="1">
        <v>200</v>
      </c>
      <c r="J13" s="1">
        <v>1</v>
      </c>
      <c r="K13" s="1">
        <v>200</v>
      </c>
      <c r="L13" s="1">
        <v>20</v>
      </c>
    </row>
    <row r="14" spans="1:12" x14ac:dyDescent="0.25">
      <c r="A14" s="1" t="s">
        <v>5</v>
      </c>
      <c r="B14" s="2">
        <v>46001</v>
      </c>
      <c r="C14" s="1">
        <v>2025</v>
      </c>
      <c r="D14" s="1" t="s">
        <v>4</v>
      </c>
      <c r="E14" s="1" t="s">
        <v>3</v>
      </c>
      <c r="F14" s="1" t="s">
        <v>2</v>
      </c>
      <c r="G14" s="1" t="s">
        <v>1</v>
      </c>
      <c r="H14" s="1" t="s">
        <v>0</v>
      </c>
      <c r="I14" s="1">
        <v>40</v>
      </c>
      <c r="J14" s="1">
        <v>2</v>
      </c>
      <c r="K14" s="1">
        <v>80</v>
      </c>
      <c r="L14" s="1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F8B81-D5F4-4A71-8E5F-A0A7387BF8EB}">
  <dimension ref="A1:Z38"/>
  <sheetViews>
    <sheetView workbookViewId="0">
      <selection activeCell="F33" sqref="F33"/>
    </sheetView>
  </sheetViews>
  <sheetFormatPr defaultRowHeight="15" x14ac:dyDescent="0.25"/>
  <cols>
    <col min="2" max="2" width="19.42578125" customWidth="1"/>
    <col min="4" max="4" width="18.42578125" customWidth="1"/>
    <col min="6" max="6" width="18.5703125" customWidth="1"/>
    <col min="7" max="7" width="9.42578125" customWidth="1"/>
    <col min="8" max="8" width="18.28515625" customWidth="1"/>
  </cols>
  <sheetData>
    <row r="1" spans="1:26" ht="23.25" customHeight="1" x14ac:dyDescent="0.3">
      <c r="A1" s="4"/>
      <c r="B1" s="12" t="s">
        <v>72</v>
      </c>
      <c r="C1" s="11"/>
      <c r="D1" s="12" t="s">
        <v>71</v>
      </c>
      <c r="E1" s="11"/>
      <c r="F1" s="12" t="s">
        <v>70</v>
      </c>
      <c r="G1" s="11"/>
      <c r="H1" s="10" t="s">
        <v>69</v>
      </c>
      <c r="I1" s="4"/>
      <c r="J1" s="4"/>
      <c r="K1" s="6"/>
      <c r="L1" s="6"/>
      <c r="M1" s="6"/>
      <c r="N1" s="6"/>
      <c r="O1" s="6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2.25" customHeight="1" x14ac:dyDescent="0.25">
      <c r="A2" s="4"/>
      <c r="B2" s="9">
        <f>'[1]CALCULATION 2'!C18</f>
        <v>0</v>
      </c>
      <c r="C2" s="4"/>
      <c r="D2" s="8">
        <f>'[1]CALCULATION 2'!B18</f>
        <v>0</v>
      </c>
      <c r="E2" s="4"/>
      <c r="F2" s="8">
        <f>'[1]CALCULATION 2'!D16</f>
        <v>0</v>
      </c>
      <c r="G2" s="4"/>
      <c r="H2" s="8">
        <f>'[1]CALCULATION 2'!E16</f>
        <v>0</v>
      </c>
      <c r="I2" s="4"/>
      <c r="J2" s="4"/>
      <c r="K2" s="6"/>
      <c r="L2" s="6"/>
      <c r="M2" s="6"/>
      <c r="N2" s="6"/>
      <c r="O2" s="6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9" customHeight="1" x14ac:dyDescent="0.25">
      <c r="A3" s="4"/>
      <c r="B3" s="7"/>
      <c r="C3" s="4"/>
      <c r="D3" s="4"/>
      <c r="E3" s="4"/>
      <c r="F3" s="4"/>
      <c r="G3" s="4"/>
      <c r="H3" s="4"/>
      <c r="I3" s="4"/>
      <c r="J3" s="4"/>
      <c r="K3" s="6"/>
      <c r="L3" s="6"/>
      <c r="M3" s="6"/>
      <c r="N3" s="6"/>
      <c r="O3" s="6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6"/>
      <c r="L4" s="6"/>
      <c r="M4" s="6"/>
      <c r="N4" s="6"/>
      <c r="O4" s="6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4"/>
      <c r="B6" s="5"/>
      <c r="C6" s="5"/>
      <c r="D6" s="5"/>
      <c r="E6" s="5"/>
      <c r="F6" s="5"/>
      <c r="G6" s="5"/>
      <c r="H6" s="5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4"/>
      <c r="B7" s="5"/>
      <c r="C7" s="5"/>
      <c r="D7" s="5"/>
      <c r="E7" s="5"/>
      <c r="F7" s="5"/>
      <c r="G7" s="5"/>
      <c r="H7" s="5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4"/>
      <c r="B8" s="5"/>
      <c r="C8" s="5"/>
      <c r="D8" s="5"/>
      <c r="E8" s="5"/>
      <c r="F8" s="5"/>
      <c r="G8" s="5"/>
      <c r="H8" s="5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4"/>
      <c r="B9" s="5"/>
      <c r="C9" s="5"/>
      <c r="D9" s="5"/>
      <c r="E9" s="5"/>
      <c r="F9" s="5"/>
      <c r="G9" s="5"/>
      <c r="H9" s="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4"/>
      <c r="B10" s="5"/>
      <c r="C10" s="5"/>
      <c r="D10" s="5"/>
      <c r="E10" s="5"/>
      <c r="F10" s="5"/>
      <c r="G10" s="5"/>
      <c r="H10" s="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5">
      <c r="A11" s="4"/>
      <c r="B11" s="5"/>
      <c r="C11" s="5"/>
      <c r="D11" s="5"/>
      <c r="E11" s="5"/>
      <c r="F11" s="5"/>
      <c r="G11" s="5"/>
      <c r="H11" s="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5">
      <c r="A12" s="4"/>
      <c r="B12" s="5"/>
      <c r="C12" s="5"/>
      <c r="D12" s="5"/>
      <c r="E12" s="5"/>
      <c r="F12" s="5"/>
      <c r="G12" s="5"/>
      <c r="H12" s="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5">
      <c r="A13" s="4"/>
      <c r="B13" s="5"/>
      <c r="C13" s="5"/>
      <c r="D13" s="5"/>
      <c r="E13" s="5"/>
      <c r="F13" s="5"/>
      <c r="G13" s="5"/>
      <c r="H13" s="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5">
      <c r="A14" s="4"/>
      <c r="B14" s="5"/>
      <c r="C14" s="5"/>
      <c r="D14" s="5"/>
      <c r="E14" s="5"/>
      <c r="F14" s="5"/>
      <c r="G14" s="5"/>
      <c r="H14" s="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5">
      <c r="A15" s="4"/>
      <c r="B15" s="5"/>
      <c r="C15" s="5"/>
      <c r="D15" s="5"/>
      <c r="E15" s="5"/>
      <c r="F15" s="5"/>
      <c r="G15" s="5"/>
      <c r="H15" s="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4"/>
      <c r="B16" s="5"/>
      <c r="C16" s="5"/>
      <c r="D16" s="5"/>
      <c r="E16" s="5"/>
      <c r="F16" s="5"/>
      <c r="G16" s="5"/>
      <c r="H16" s="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4"/>
      <c r="B17" s="5"/>
      <c r="C17" s="5"/>
      <c r="D17" s="5"/>
      <c r="E17" s="5"/>
      <c r="F17" s="5"/>
      <c r="G17" s="5"/>
      <c r="H17" s="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4"/>
      <c r="B18" s="5"/>
      <c r="C18" s="5"/>
      <c r="D18" s="5"/>
      <c r="E18" s="5"/>
      <c r="F18" s="5"/>
      <c r="G18" s="5"/>
      <c r="H18" s="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4"/>
      <c r="B19" s="5"/>
      <c r="C19" s="5"/>
      <c r="D19" s="5"/>
      <c r="E19" s="5"/>
      <c r="F19" s="5"/>
      <c r="G19" s="5"/>
      <c r="H19" s="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4"/>
      <c r="B20" s="5"/>
      <c r="C20" s="5"/>
      <c r="D20" s="5"/>
      <c r="E20" s="5"/>
      <c r="F20" s="5"/>
      <c r="G20" s="5"/>
      <c r="H20" s="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4"/>
      <c r="B21" s="5"/>
      <c r="C21" s="5"/>
      <c r="D21" s="5"/>
      <c r="E21" s="5"/>
      <c r="F21" s="5"/>
      <c r="G21" s="5"/>
      <c r="H21" s="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5">
      <c r="A22" s="4"/>
      <c r="B22" s="5"/>
      <c r="C22" s="5"/>
      <c r="D22" s="5"/>
      <c r="E22" s="5"/>
      <c r="F22" s="5"/>
      <c r="G22" s="5"/>
      <c r="H22" s="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5">
      <c r="A23" s="4"/>
      <c r="B23" s="5"/>
      <c r="C23" s="5"/>
      <c r="D23" s="5"/>
      <c r="E23" s="5"/>
      <c r="F23" s="5"/>
      <c r="G23" s="5"/>
      <c r="H23" s="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5">
      <c r="A24" s="4"/>
      <c r="B24" s="5"/>
      <c r="C24" s="5"/>
      <c r="D24" s="5"/>
      <c r="E24" s="5"/>
      <c r="F24" s="5"/>
      <c r="G24" s="5"/>
      <c r="H24" s="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5">
      <c r="A25" s="4"/>
      <c r="B25" s="5"/>
      <c r="C25" s="5"/>
      <c r="D25" s="5"/>
      <c r="E25" s="5"/>
      <c r="F25" s="5"/>
      <c r="G25" s="5"/>
      <c r="H25" s="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5">
      <c r="A26" s="4"/>
      <c r="B26" s="5"/>
      <c r="C26" s="5"/>
      <c r="D26" s="5"/>
      <c r="E26" s="5"/>
      <c r="F26" s="5"/>
      <c r="G26" s="5"/>
      <c r="H26" s="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</sheetData>
  <mergeCells count="3">
    <mergeCell ref="B6:E26"/>
    <mergeCell ref="F6:H26"/>
    <mergeCell ref="K1:O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3</vt:lpstr>
      <vt:lpstr>DASHBOARD 3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SITHPC-11</dc:creator>
  <cp:lastModifiedBy>SITHPC-11</cp:lastModifiedBy>
  <dcterms:created xsi:type="dcterms:W3CDTF">2026-03-09T08:01:49Z</dcterms:created>
  <dcterms:modified xsi:type="dcterms:W3CDTF">2026-03-09T08:03:42Z</dcterms:modified>
</cp:coreProperties>
</file>